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les\Documents\SKOLA\skola_mtf\ročnik (2)\sem_4\elektrika\zadanie 6\"/>
    </mc:Choice>
  </mc:AlternateContent>
  <xr:revisionPtr revIDLastSave="0" documentId="13_ncr:1_{E5B26F5E-A74B-4D80-A733-00FAF05D9DDC}" xr6:coauthVersionLast="47" xr6:coauthVersionMax="47" xr10:uidLastSave="{00000000-0000-0000-0000-000000000000}"/>
  <bookViews>
    <workbookView xWindow="-19320" yWindow="-120" windowWidth="19440" windowHeight="15000" xr2:uid="{07B82C44-AC3C-4750-BA7C-79F89D65BFB5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" i="1" l="1"/>
  <c r="F51" i="1"/>
  <c r="F52" i="1"/>
  <c r="F53" i="1"/>
  <c r="F54" i="1"/>
  <c r="F55" i="1"/>
  <c r="F56" i="1"/>
  <c r="F57" i="1"/>
  <c r="F49" i="1"/>
  <c r="E58" i="1"/>
  <c r="D58" i="1"/>
  <c r="C58" i="1"/>
  <c r="F37" i="1"/>
  <c r="F38" i="1"/>
  <c r="F39" i="1"/>
  <c r="F40" i="1"/>
  <c r="F41" i="1"/>
  <c r="F42" i="1"/>
  <c r="F43" i="1"/>
  <c r="F44" i="1"/>
  <c r="F36" i="1"/>
  <c r="E45" i="1"/>
  <c r="D45" i="1"/>
  <c r="C45" i="1"/>
  <c r="B58" i="1"/>
  <c r="B45" i="1"/>
  <c r="F45" i="1" l="1"/>
  <c r="F58" i="1"/>
</calcChain>
</file>

<file path=xl/sharedStrings.xml><?xml version="1.0" encoding="utf-8"?>
<sst xmlns="http://schemas.openxmlformats.org/spreadsheetml/2006/main" count="31" uniqueCount="25">
  <si>
    <t>I_10 [A]</t>
  </si>
  <si>
    <t>U_10 [V]</t>
  </si>
  <si>
    <t>U_20 [V]</t>
  </si>
  <si>
    <t>P_O ' [W]</t>
  </si>
  <si>
    <t>R_V [K /ohm]</t>
  </si>
  <si>
    <t>R_W [K /ohm]</t>
  </si>
  <si>
    <t>P_SP [W]</t>
  </si>
  <si>
    <t>P_O [W]</t>
  </si>
  <si>
    <t>P_J [W]</t>
  </si>
  <si>
    <t>P_FE [W]</t>
  </si>
  <si>
    <t>cos 𝜑</t>
  </si>
  <si>
    <t>i</t>
  </si>
  <si>
    <t>U_1 [V]</t>
  </si>
  <si>
    <t>U_2 [V]</t>
  </si>
  <si>
    <t>P_i</t>
  </si>
  <si>
    <t>P_i - P</t>
  </si>
  <si>
    <t>P_i - P ˇ2</t>
  </si>
  <si>
    <t>I1k [A]</t>
  </si>
  <si>
    <t>U1k [V]</t>
  </si>
  <si>
    <t>Pk' [W]</t>
  </si>
  <si>
    <t>Rv [k ohm]</t>
  </si>
  <si>
    <t>P_kor [W]</t>
  </si>
  <si>
    <t>P_k [W]</t>
  </si>
  <si>
    <t>cos fi k</t>
  </si>
  <si>
    <t>R_W [k ohm]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</si>
</sst>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 𝜑 = f(U)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cos Fí = f(U)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Hárok1!$B$2:$B$11</c:f>
              <c:numCache>
                <c:formatCode>General</c:formatCode>
                <c:ptCount val="10"/>
                <c:pt idx="0">
                  <c:v>100</c:v>
                </c:pt>
                <c:pt idx="1">
                  <c:v>110</c:v>
                </c:pt>
                <c:pt idx="2">
                  <c:v>120</c:v>
                </c:pt>
                <c:pt idx="3">
                  <c:v>130</c:v>
                </c:pt>
                <c:pt idx="4">
                  <c:v>140</c:v>
                </c:pt>
                <c:pt idx="5">
                  <c:v>150</c:v>
                </c:pt>
                <c:pt idx="6">
                  <c:v>160</c:v>
                </c:pt>
                <c:pt idx="7">
                  <c:v>170</c:v>
                </c:pt>
                <c:pt idx="8">
                  <c:v>180</c:v>
                </c:pt>
                <c:pt idx="9">
                  <c:v>190</c:v>
                </c:pt>
              </c:numCache>
            </c:numRef>
          </c:xVal>
          <c:yVal>
            <c:numRef>
              <c:f>Hárok1!$K$2:$K$11</c:f>
              <c:numCache>
                <c:formatCode>General</c:formatCode>
                <c:ptCount val="10"/>
                <c:pt idx="0">
                  <c:v>0.49</c:v>
                </c:pt>
                <c:pt idx="1">
                  <c:v>0.45</c:v>
                </c:pt>
                <c:pt idx="2">
                  <c:v>0.43</c:v>
                </c:pt>
                <c:pt idx="3">
                  <c:v>0.43</c:v>
                </c:pt>
                <c:pt idx="4">
                  <c:v>0.4</c:v>
                </c:pt>
                <c:pt idx="5">
                  <c:v>0.38</c:v>
                </c:pt>
                <c:pt idx="6">
                  <c:v>0.35</c:v>
                </c:pt>
                <c:pt idx="7">
                  <c:v>0.33</c:v>
                </c:pt>
                <c:pt idx="8">
                  <c:v>0.31</c:v>
                </c:pt>
                <c:pt idx="9">
                  <c:v>0.28999999999999998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96-4FBD-BB0E-8038AC562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826664"/>
        <c:axId val="450827024"/>
      </c:scatterChart>
      <c:valAx>
        <c:axId val="450826664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000" b="0" i="0">
                    <a:latin typeface="Cambria Math" panose="02040503050406030204" pitchFamily="18" charset="0"/>
                  </a:rPr>
                  <a:t>𝑈_10 [V]</a:t>
                </a:r>
                <a:endParaRPr lang="sk-SK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450827024"/>
        <c:crosses val="autoZero"/>
        <c:crossBetween val="midCat"/>
      </c:valAx>
      <c:valAx>
        <c:axId val="45082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/>
                  <a:t>cos</a:t>
                </a:r>
                <a:r>
                  <a:rPr lang="sk-SK" baseline="0"/>
                  <a:t> </a:t>
                </a:r>
                <a:r>
                  <a:rPr lang="sk-SK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</a:rPr>
                  <a:t>𝜑</a:t>
                </a:r>
                <a:endParaRPr lang="sk-S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450826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Po' = f(U)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Hárok1!$B$2:$B$11</c:f>
              <c:numCache>
                <c:formatCode>General</c:formatCode>
                <c:ptCount val="10"/>
                <c:pt idx="0">
                  <c:v>100</c:v>
                </c:pt>
                <c:pt idx="1">
                  <c:v>110</c:v>
                </c:pt>
                <c:pt idx="2">
                  <c:v>120</c:v>
                </c:pt>
                <c:pt idx="3">
                  <c:v>130</c:v>
                </c:pt>
                <c:pt idx="4">
                  <c:v>140</c:v>
                </c:pt>
                <c:pt idx="5">
                  <c:v>150</c:v>
                </c:pt>
                <c:pt idx="6">
                  <c:v>160</c:v>
                </c:pt>
                <c:pt idx="7">
                  <c:v>170</c:v>
                </c:pt>
                <c:pt idx="8">
                  <c:v>180</c:v>
                </c:pt>
                <c:pt idx="9">
                  <c:v>190</c:v>
                </c:pt>
              </c:numCache>
            </c:numRef>
          </c:xVal>
          <c:yVal>
            <c:numRef>
              <c:f>Hárok1!$D$2:$D$11</c:f>
              <c:numCache>
                <c:formatCode>General</c:formatCode>
                <c:ptCount val="10"/>
                <c:pt idx="0">
                  <c:v>4.5999999999999996</c:v>
                </c:pt>
                <c:pt idx="1">
                  <c:v>5.3</c:v>
                </c:pt>
                <c:pt idx="2">
                  <c:v>6.1</c:v>
                </c:pt>
                <c:pt idx="3">
                  <c:v>7.2</c:v>
                </c:pt>
                <c:pt idx="4">
                  <c:v>8.3000000000000007</c:v>
                </c:pt>
                <c:pt idx="5">
                  <c:v>9.4</c:v>
                </c:pt>
                <c:pt idx="6">
                  <c:v>10.5</c:v>
                </c:pt>
                <c:pt idx="7">
                  <c:v>11.8</c:v>
                </c:pt>
                <c:pt idx="8">
                  <c:v>13</c:v>
                </c:pt>
                <c:pt idx="9">
                  <c:v>14.8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EA-4990-A004-37E9DF190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830984"/>
        <c:axId val="450833504"/>
      </c:scatterChart>
      <c:valAx>
        <c:axId val="450830984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/>
                  <a:t>U_10</a:t>
                </a:r>
                <a:r>
                  <a:rPr lang="sk-SK" baseline="0"/>
                  <a:t> [V]</a:t>
                </a:r>
                <a:endParaRPr lang="sk-S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450833504"/>
        <c:crosses val="autoZero"/>
        <c:crossBetween val="midCat"/>
      </c:valAx>
      <c:valAx>
        <c:axId val="45083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/>
                  <a:t>Po'</a:t>
                </a:r>
                <a:r>
                  <a:rPr lang="sk-SK" baseline="0"/>
                  <a:t> [W]</a:t>
                </a:r>
                <a:endParaRPr lang="sk-S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450830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/>
              <a:t>U2</a:t>
            </a:r>
            <a:r>
              <a:rPr lang="sk-SK" baseline="0"/>
              <a:t> = f(U1) / U2 = f(U1)</a:t>
            </a:r>
            <a:endParaRPr lang="sk-S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g(X)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0"/>
            <c:backward val="55"/>
            <c:dispRSqr val="0"/>
            <c:dispEq val="0"/>
          </c:trendline>
          <c:xVal>
            <c:numRef>
              <c:f>Hárok1!$B$36:$B$44</c:f>
              <c:numCache>
                <c:formatCode>General</c:formatCode>
                <c:ptCount val="9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130</c:v>
                </c:pt>
                <c:pt idx="8">
                  <c:v>140</c:v>
                </c:pt>
              </c:numCache>
            </c:numRef>
          </c:xVal>
          <c:yVal>
            <c:numRef>
              <c:f>Hárok1!$C$36:$C$44</c:f>
              <c:numCache>
                <c:formatCode>General</c:formatCode>
                <c:ptCount val="9"/>
                <c:pt idx="0">
                  <c:v>7.4</c:v>
                </c:pt>
                <c:pt idx="1">
                  <c:v>8.5</c:v>
                </c:pt>
                <c:pt idx="2">
                  <c:v>9.8000000000000007</c:v>
                </c:pt>
                <c:pt idx="3">
                  <c:v>11.05</c:v>
                </c:pt>
                <c:pt idx="4">
                  <c:v>12.4</c:v>
                </c:pt>
                <c:pt idx="5">
                  <c:v>13.6</c:v>
                </c:pt>
                <c:pt idx="6">
                  <c:v>14.85</c:v>
                </c:pt>
                <c:pt idx="7">
                  <c:v>16.100000000000001</c:v>
                </c:pt>
                <c:pt idx="8">
                  <c:v>17.45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9F-41B7-91FB-3D1EA7E73584}"/>
            </c:ext>
          </c:extLst>
        </c:ser>
        <c:ser>
          <c:idx val="1"/>
          <c:order val="1"/>
          <c:tx>
            <c:v>f(x)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10"/>
            <c:backward val="55"/>
            <c:dispRSqr val="0"/>
            <c:dispEq val="0"/>
          </c:trendline>
          <c:xVal>
            <c:numRef>
              <c:f>Hárok1!$B$49:$B$57</c:f>
              <c:numCache>
                <c:formatCode>General</c:formatCode>
                <c:ptCount val="9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130</c:v>
                </c:pt>
                <c:pt idx="8">
                  <c:v>140</c:v>
                </c:pt>
              </c:numCache>
            </c:numRef>
          </c:xVal>
          <c:yVal>
            <c:numRef>
              <c:f>Hárok1!$C$49:$C$57</c:f>
              <c:numCache>
                <c:formatCode>General</c:formatCode>
                <c:ptCount val="9"/>
                <c:pt idx="0">
                  <c:v>13.2</c:v>
                </c:pt>
                <c:pt idx="1">
                  <c:v>15.35</c:v>
                </c:pt>
                <c:pt idx="2">
                  <c:v>17.55</c:v>
                </c:pt>
                <c:pt idx="3">
                  <c:v>19.82</c:v>
                </c:pt>
                <c:pt idx="4">
                  <c:v>22.2</c:v>
                </c:pt>
                <c:pt idx="5">
                  <c:v>24.5</c:v>
                </c:pt>
                <c:pt idx="6">
                  <c:v>26.8</c:v>
                </c:pt>
                <c:pt idx="7">
                  <c:v>29</c:v>
                </c:pt>
                <c:pt idx="8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9F-41B7-91FB-3D1EA7E73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921584"/>
        <c:axId val="450923744"/>
      </c:scatterChart>
      <c:valAx>
        <c:axId val="45092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/>
                  <a:t>U1</a:t>
                </a:r>
                <a:r>
                  <a:rPr lang="sk-SK" baseline="0"/>
                  <a:t> [V]</a:t>
                </a:r>
                <a:endParaRPr lang="sk-S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450923744"/>
        <c:crosses val="autoZero"/>
        <c:crossBetween val="midCat"/>
      </c:valAx>
      <c:valAx>
        <c:axId val="45092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/>
                  <a:t>U2</a:t>
                </a:r>
                <a:r>
                  <a:rPr lang="sk-SK" baseline="0"/>
                  <a:t> [V]</a:t>
                </a:r>
                <a:endParaRPr lang="sk-S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450921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 fi = f(</a:t>
            </a:r>
            <a:r>
              <a:rPr lang="sk-SK"/>
              <a:t>U</a:t>
            </a:r>
            <a:r>
              <a:rPr lang="en-US"/>
              <a:t>1k)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cos fi = f(u1k)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Hárok1!$B$62:$B$71</c:f>
              <c:numCache>
                <c:formatCode>General</c:formatCode>
                <c:ptCount val="10"/>
                <c:pt idx="0">
                  <c:v>47</c:v>
                </c:pt>
                <c:pt idx="1">
                  <c:v>53</c:v>
                </c:pt>
                <c:pt idx="2">
                  <c:v>59</c:v>
                </c:pt>
                <c:pt idx="3">
                  <c:v>65</c:v>
                </c:pt>
                <c:pt idx="4">
                  <c:v>72</c:v>
                </c:pt>
                <c:pt idx="5">
                  <c:v>78</c:v>
                </c:pt>
                <c:pt idx="6">
                  <c:v>84</c:v>
                </c:pt>
                <c:pt idx="7">
                  <c:v>90</c:v>
                </c:pt>
                <c:pt idx="8">
                  <c:v>97</c:v>
                </c:pt>
                <c:pt idx="9">
                  <c:v>103</c:v>
                </c:pt>
              </c:numCache>
            </c:numRef>
          </c:xVal>
          <c:yVal>
            <c:numRef>
              <c:f>Hárok1!$H$62:$H$71</c:f>
              <c:numCache>
                <c:formatCode>General</c:formatCode>
                <c:ptCount val="10"/>
                <c:pt idx="0">
                  <c:v>0.126</c:v>
                </c:pt>
                <c:pt idx="1">
                  <c:v>0.125</c:v>
                </c:pt>
                <c:pt idx="2">
                  <c:v>0.123</c:v>
                </c:pt>
                <c:pt idx="3">
                  <c:v>0.12</c:v>
                </c:pt>
                <c:pt idx="4">
                  <c:v>0.11899999999999999</c:v>
                </c:pt>
                <c:pt idx="5">
                  <c:v>0.12</c:v>
                </c:pt>
                <c:pt idx="6">
                  <c:v>0.11899999999999999</c:v>
                </c:pt>
                <c:pt idx="7">
                  <c:v>0.11600000000000001</c:v>
                </c:pt>
                <c:pt idx="8">
                  <c:v>0.11799999999999999</c:v>
                </c:pt>
                <c:pt idx="9">
                  <c:v>0.114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F3-4D25-86B5-E597A5E35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605056"/>
        <c:axId val="458457584"/>
      </c:scatterChart>
      <c:valAx>
        <c:axId val="612605056"/>
        <c:scaling>
          <c:orientation val="minMax"/>
          <c:min val="4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/>
                  <a:t>U1K</a:t>
                </a:r>
                <a:r>
                  <a:rPr lang="sk-SK" baseline="0"/>
                  <a:t> [V]</a:t>
                </a:r>
                <a:endParaRPr lang="sk-S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458457584"/>
        <c:crosses val="autoZero"/>
        <c:crossBetween val="midCat"/>
      </c:valAx>
      <c:valAx>
        <c:axId val="45845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cos </a:t>
                </a:r>
                <a:r>
                  <a:rPr lang="sk-SK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</a:rPr>
                  <a:t>𝜑</a:t>
                </a:r>
                <a:endParaRPr lang="sk-SK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12605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533400</xdr:colOff>
      <xdr:row>16</xdr:row>
      <xdr:rowOff>147637</xdr:rowOff>
    </xdr:from>
    <xdr:ext cx="65" cy="172227"/>
    <xdr:sp macro="" textlink="">
      <xdr:nvSpPr>
        <xdr:cNvPr id="2" name="BlokTextu 1">
          <a:extLst>
            <a:ext uri="{FF2B5EF4-FFF2-40B4-BE49-F238E27FC236}">
              <a16:creationId xmlns:a16="http://schemas.microsoft.com/office/drawing/2014/main" id="{FEAE68CF-7EF0-AC61-7E9D-0FC6ACBDAC9B}"/>
            </a:ext>
          </a:extLst>
        </xdr:cNvPr>
        <xdr:cNvSpPr txBox="1"/>
      </xdr:nvSpPr>
      <xdr:spPr>
        <a:xfrm>
          <a:off x="8458200" y="31956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sk-SK" sz="1100"/>
        </a:p>
      </xdr:txBody>
    </xdr:sp>
    <xdr:clientData/>
  </xdr:oneCellAnchor>
  <xdr:oneCellAnchor>
    <xdr:from>
      <xdr:col>13</xdr:col>
      <xdr:colOff>533400</xdr:colOff>
      <xdr:row>16</xdr:row>
      <xdr:rowOff>147637</xdr:rowOff>
    </xdr:from>
    <xdr:ext cx="65" cy="172227"/>
    <xdr:sp macro="" textlink="">
      <xdr:nvSpPr>
        <xdr:cNvPr id="3" name="BlokTextu 2">
          <a:extLst>
            <a:ext uri="{FF2B5EF4-FFF2-40B4-BE49-F238E27FC236}">
              <a16:creationId xmlns:a16="http://schemas.microsoft.com/office/drawing/2014/main" id="{38A28C13-64B4-5EFC-0DC8-F891C267180A}"/>
            </a:ext>
          </a:extLst>
        </xdr:cNvPr>
        <xdr:cNvSpPr txBox="1"/>
      </xdr:nvSpPr>
      <xdr:spPr>
        <a:xfrm>
          <a:off x="8458200" y="31956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sk-SK" sz="1100"/>
        </a:p>
      </xdr:txBody>
    </xdr:sp>
    <xdr:clientData/>
  </xdr:oneCellAnchor>
  <xdr:twoCellAnchor>
    <xdr:from>
      <xdr:col>10</xdr:col>
      <xdr:colOff>476250</xdr:colOff>
      <xdr:row>14</xdr:row>
      <xdr:rowOff>90487</xdr:rowOff>
    </xdr:from>
    <xdr:to>
      <xdr:col>18</xdr:col>
      <xdr:colOff>171450</xdr:colOff>
      <xdr:row>28</xdr:row>
      <xdr:rowOff>166687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A26BE513-CA56-D04E-BA02-024128328B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10</xdr:col>
      <xdr:colOff>576262</xdr:colOff>
      <xdr:row>16</xdr:row>
      <xdr:rowOff>147637</xdr:rowOff>
    </xdr:from>
    <xdr:ext cx="65" cy="172227"/>
    <xdr:sp macro="" textlink="">
      <xdr:nvSpPr>
        <xdr:cNvPr id="5" name="BlokTextu 4">
          <a:extLst>
            <a:ext uri="{FF2B5EF4-FFF2-40B4-BE49-F238E27FC236}">
              <a16:creationId xmlns:a16="http://schemas.microsoft.com/office/drawing/2014/main" id="{1A38ACED-788E-0FB2-679C-54E1D0E89121}"/>
            </a:ext>
          </a:extLst>
        </xdr:cNvPr>
        <xdr:cNvSpPr txBox="1"/>
      </xdr:nvSpPr>
      <xdr:spPr>
        <a:xfrm>
          <a:off x="6672262" y="31956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sk-SK" sz="1100"/>
        </a:p>
      </xdr:txBody>
    </xdr:sp>
    <xdr:clientData/>
  </xdr:oneCellAnchor>
  <xdr:oneCellAnchor>
    <xdr:from>
      <xdr:col>10</xdr:col>
      <xdr:colOff>576262</xdr:colOff>
      <xdr:row>16</xdr:row>
      <xdr:rowOff>147637</xdr:rowOff>
    </xdr:from>
    <xdr:ext cx="65" cy="172227"/>
    <xdr:sp macro="" textlink="">
      <xdr:nvSpPr>
        <xdr:cNvPr id="6" name="BlokTextu 5">
          <a:extLst>
            <a:ext uri="{FF2B5EF4-FFF2-40B4-BE49-F238E27FC236}">
              <a16:creationId xmlns:a16="http://schemas.microsoft.com/office/drawing/2014/main" id="{3CDDC01A-87EB-E7E8-4102-3138C9F4EA9D}"/>
            </a:ext>
          </a:extLst>
        </xdr:cNvPr>
        <xdr:cNvSpPr txBox="1"/>
      </xdr:nvSpPr>
      <xdr:spPr>
        <a:xfrm>
          <a:off x="6672262" y="31956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sk-SK" sz="1100"/>
        </a:p>
      </xdr:txBody>
    </xdr:sp>
    <xdr:clientData/>
  </xdr:oneCellAnchor>
  <xdr:oneCellAnchor>
    <xdr:from>
      <xdr:col>6</xdr:col>
      <xdr:colOff>471487</xdr:colOff>
      <xdr:row>17</xdr:row>
      <xdr:rowOff>100012</xdr:rowOff>
    </xdr:from>
    <xdr:ext cx="65" cy="172227"/>
    <xdr:sp macro="" textlink="">
      <xdr:nvSpPr>
        <xdr:cNvPr id="7" name="BlokTextu 6">
          <a:extLst>
            <a:ext uri="{FF2B5EF4-FFF2-40B4-BE49-F238E27FC236}">
              <a16:creationId xmlns:a16="http://schemas.microsoft.com/office/drawing/2014/main" id="{A402E2E3-3069-ADFD-F612-8E5A06F6CDE4}"/>
            </a:ext>
          </a:extLst>
        </xdr:cNvPr>
        <xdr:cNvSpPr txBox="1"/>
      </xdr:nvSpPr>
      <xdr:spPr>
        <a:xfrm>
          <a:off x="4129087" y="33385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sk-SK" sz="1100"/>
        </a:p>
      </xdr:txBody>
    </xdr:sp>
    <xdr:clientData/>
  </xdr:oneCellAnchor>
  <xdr:twoCellAnchor>
    <xdr:from>
      <xdr:col>1</xdr:col>
      <xdr:colOff>252412</xdr:colOff>
      <xdr:row>14</xdr:row>
      <xdr:rowOff>147637</xdr:rowOff>
    </xdr:from>
    <xdr:to>
      <xdr:col>8</xdr:col>
      <xdr:colOff>557212</xdr:colOff>
      <xdr:row>29</xdr:row>
      <xdr:rowOff>33337</xdr:rowOff>
    </xdr:to>
    <xdr:graphicFrame macro="">
      <xdr:nvGraphicFramePr>
        <xdr:cNvPr id="8" name="Graf 7">
          <a:extLst>
            <a:ext uri="{FF2B5EF4-FFF2-40B4-BE49-F238E27FC236}">
              <a16:creationId xmlns:a16="http://schemas.microsoft.com/office/drawing/2014/main" id="{2FDEFBD5-C33D-1F6A-4B9C-CE74ECA570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585786</xdr:colOff>
      <xdr:row>35</xdr:row>
      <xdr:rowOff>176212</xdr:rowOff>
    </xdr:from>
    <xdr:to>
      <xdr:col>16</xdr:col>
      <xdr:colOff>57149</xdr:colOff>
      <xdr:row>50</xdr:row>
      <xdr:rowOff>61912</xdr:rowOff>
    </xdr:to>
    <xdr:graphicFrame macro="">
      <xdr:nvGraphicFramePr>
        <xdr:cNvPr id="9" name="Graf 8">
          <a:extLst>
            <a:ext uri="{FF2B5EF4-FFF2-40B4-BE49-F238E27FC236}">
              <a16:creationId xmlns:a16="http://schemas.microsoft.com/office/drawing/2014/main" id="{0A64B9ED-E447-029F-813F-4831250838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261937</xdr:colOff>
      <xdr:row>57</xdr:row>
      <xdr:rowOff>4762</xdr:rowOff>
    </xdr:from>
    <xdr:to>
      <xdr:col>17</xdr:col>
      <xdr:colOff>566737</xdr:colOff>
      <xdr:row>71</xdr:row>
      <xdr:rowOff>80962</xdr:rowOff>
    </xdr:to>
    <xdr:graphicFrame macro="">
      <xdr:nvGraphicFramePr>
        <xdr:cNvPr id="10" name="Graf 9">
          <a:extLst>
            <a:ext uri="{FF2B5EF4-FFF2-40B4-BE49-F238E27FC236}">
              <a16:creationId xmlns:a16="http://schemas.microsoft.com/office/drawing/2014/main" id="{A8311072-25E7-3D7A-938A-0CBA61BFF2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D95DE-4407-4164-ADA0-329CADA1D056}">
  <dimension ref="A1:K71"/>
  <sheetViews>
    <sheetView tabSelected="1" topLeftCell="A49" workbookViewId="0">
      <selection activeCell="A61" sqref="A61:H71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7.4999999999999997E-2</v>
      </c>
      <c r="B2">
        <v>100</v>
      </c>
      <c r="C2">
        <v>50</v>
      </c>
      <c r="D2">
        <v>4.5999999999999996</v>
      </c>
      <c r="E2">
        <v>600</v>
      </c>
      <c r="F2">
        <v>10</v>
      </c>
      <c r="G2">
        <v>1.02</v>
      </c>
      <c r="H2">
        <v>3.4</v>
      </c>
      <c r="I2">
        <v>6.5700000000000003E-3</v>
      </c>
      <c r="J2">
        <v>3.39</v>
      </c>
      <c r="K2">
        <v>0.49</v>
      </c>
    </row>
    <row r="3" spans="1:11" x14ac:dyDescent="0.25">
      <c r="A3">
        <v>8.2000000000000003E-2</v>
      </c>
      <c r="B3">
        <v>110</v>
      </c>
      <c r="C3">
        <v>60</v>
      </c>
      <c r="D3">
        <v>5.3</v>
      </c>
      <c r="E3">
        <v>600</v>
      </c>
      <c r="F3">
        <v>10</v>
      </c>
      <c r="G3">
        <v>1.23</v>
      </c>
      <c r="H3">
        <v>4.08</v>
      </c>
      <c r="I3">
        <v>8.0700000000000008E-3</v>
      </c>
      <c r="J3">
        <v>4.0599999999999996</v>
      </c>
      <c r="K3">
        <v>0.45</v>
      </c>
    </row>
    <row r="4" spans="1:11" x14ac:dyDescent="0.25">
      <c r="A4">
        <v>0.09</v>
      </c>
      <c r="B4">
        <v>120</v>
      </c>
      <c r="C4">
        <v>62.5</v>
      </c>
      <c r="D4">
        <v>6.1</v>
      </c>
      <c r="E4">
        <v>600</v>
      </c>
      <c r="F4">
        <v>10</v>
      </c>
      <c r="G4">
        <v>1.46</v>
      </c>
      <c r="H4">
        <v>4.6399999999999997</v>
      </c>
      <c r="I4">
        <v>9.7199999999999995E-3</v>
      </c>
      <c r="J4">
        <v>4.63</v>
      </c>
      <c r="K4">
        <v>0.43</v>
      </c>
    </row>
    <row r="5" spans="1:11" x14ac:dyDescent="0.25">
      <c r="A5">
        <v>0.10100000000000001</v>
      </c>
      <c r="B5">
        <v>130</v>
      </c>
      <c r="C5">
        <v>67.5</v>
      </c>
      <c r="D5">
        <v>7.2</v>
      </c>
      <c r="E5">
        <v>600</v>
      </c>
      <c r="F5">
        <v>10</v>
      </c>
      <c r="G5">
        <v>1.72</v>
      </c>
      <c r="H5">
        <v>5.48</v>
      </c>
      <c r="I5">
        <v>1.2239999999999999E-2</v>
      </c>
      <c r="J5">
        <v>5.48</v>
      </c>
      <c r="K5">
        <v>0.43</v>
      </c>
    </row>
    <row r="6" spans="1:11" x14ac:dyDescent="0.25">
      <c r="A6">
        <v>0.112</v>
      </c>
      <c r="B6">
        <v>140</v>
      </c>
      <c r="C6">
        <v>72.5</v>
      </c>
      <c r="D6">
        <v>8.3000000000000007</v>
      </c>
      <c r="E6">
        <v>600</v>
      </c>
      <c r="F6">
        <v>10</v>
      </c>
      <c r="G6">
        <v>1.99</v>
      </c>
      <c r="H6">
        <v>6.31</v>
      </c>
      <c r="I6">
        <v>1.5049999999999999E-2</v>
      </c>
      <c r="J6">
        <v>6.29</v>
      </c>
      <c r="K6">
        <v>0.4</v>
      </c>
    </row>
    <row r="7" spans="1:11" x14ac:dyDescent="0.25">
      <c r="A7">
        <v>0.124</v>
      </c>
      <c r="B7">
        <v>150</v>
      </c>
      <c r="C7">
        <v>77.5</v>
      </c>
      <c r="D7">
        <v>9.4</v>
      </c>
      <c r="E7">
        <v>600</v>
      </c>
      <c r="F7">
        <v>10</v>
      </c>
      <c r="G7">
        <v>2.29</v>
      </c>
      <c r="H7">
        <v>7.11</v>
      </c>
      <c r="I7">
        <v>1.8450000000000001E-2</v>
      </c>
      <c r="J7">
        <v>7.09</v>
      </c>
      <c r="K7">
        <v>0.38</v>
      </c>
    </row>
    <row r="8" spans="1:11" x14ac:dyDescent="0.25">
      <c r="A8">
        <v>0.13900000000000001</v>
      </c>
      <c r="B8">
        <v>160</v>
      </c>
      <c r="C8">
        <v>82.5</v>
      </c>
      <c r="D8">
        <v>10.5</v>
      </c>
      <c r="E8">
        <v>600</v>
      </c>
      <c r="F8">
        <v>10</v>
      </c>
      <c r="G8">
        <v>2.6</v>
      </c>
      <c r="H8">
        <v>7.9</v>
      </c>
      <c r="I8">
        <v>2.3189999999999999E-2</v>
      </c>
      <c r="J8">
        <v>7.88</v>
      </c>
      <c r="K8">
        <v>0.35</v>
      </c>
    </row>
    <row r="9" spans="1:11" x14ac:dyDescent="0.25">
      <c r="A9">
        <v>0.156</v>
      </c>
      <c r="B9">
        <v>170</v>
      </c>
      <c r="C9">
        <v>87.5</v>
      </c>
      <c r="D9">
        <v>11.8</v>
      </c>
      <c r="E9">
        <v>600</v>
      </c>
      <c r="F9">
        <v>10</v>
      </c>
      <c r="G9">
        <v>2.94</v>
      </c>
      <c r="H9">
        <v>8.86</v>
      </c>
      <c r="I9">
        <v>2.92E-2</v>
      </c>
      <c r="J9">
        <v>8.83</v>
      </c>
      <c r="K9">
        <v>0.33</v>
      </c>
    </row>
    <row r="10" spans="1:11" x14ac:dyDescent="0.25">
      <c r="A10">
        <v>0.17499999999999999</v>
      </c>
      <c r="B10">
        <v>180</v>
      </c>
      <c r="C10">
        <v>92.5</v>
      </c>
      <c r="D10">
        <v>13</v>
      </c>
      <c r="E10">
        <v>600</v>
      </c>
      <c r="F10">
        <v>10</v>
      </c>
      <c r="G10">
        <v>3.29</v>
      </c>
      <c r="H10">
        <v>9.7100000000000009</v>
      </c>
      <c r="I10">
        <v>3.6749999999999998E-2</v>
      </c>
      <c r="J10">
        <v>9.67</v>
      </c>
      <c r="K10">
        <v>0.31</v>
      </c>
    </row>
    <row r="11" spans="1:11" x14ac:dyDescent="0.25">
      <c r="A11">
        <v>0.20200000000000001</v>
      </c>
      <c r="B11">
        <v>190</v>
      </c>
      <c r="C11">
        <v>97.5</v>
      </c>
      <c r="D11">
        <v>14.8</v>
      </c>
      <c r="E11">
        <v>600</v>
      </c>
      <c r="F11">
        <v>10</v>
      </c>
      <c r="G11">
        <v>3.67</v>
      </c>
      <c r="H11">
        <v>11.13</v>
      </c>
      <c r="I11">
        <v>4.8959999999999997E-2</v>
      </c>
      <c r="J11">
        <v>11.08</v>
      </c>
      <c r="K11">
        <v>0.28999999999999998</v>
      </c>
    </row>
    <row r="35" spans="1:6" x14ac:dyDescent="0.25">
      <c r="A35" t="s">
        <v>11</v>
      </c>
      <c r="B35" t="s">
        <v>12</v>
      </c>
      <c r="C35" t="s">
        <v>13</v>
      </c>
      <c r="D35" t="s">
        <v>14</v>
      </c>
      <c r="E35" t="s">
        <v>15</v>
      </c>
      <c r="F35" t="s">
        <v>16</v>
      </c>
    </row>
    <row r="36" spans="1:6" x14ac:dyDescent="0.25">
      <c r="A36">
        <v>1</v>
      </c>
      <c r="B36">
        <v>60</v>
      </c>
      <c r="C36">
        <v>7.4</v>
      </c>
      <c r="D36">
        <v>8.11</v>
      </c>
      <c r="E36">
        <v>0</v>
      </c>
      <c r="F36">
        <f>POWER(E36,2)</f>
        <v>0</v>
      </c>
    </row>
    <row r="37" spans="1:6" x14ac:dyDescent="0.25">
      <c r="A37">
        <v>2</v>
      </c>
      <c r="B37">
        <v>70</v>
      </c>
      <c r="C37">
        <v>8.5</v>
      </c>
      <c r="D37">
        <v>8.24</v>
      </c>
      <c r="E37">
        <v>0.13</v>
      </c>
      <c r="F37">
        <f t="shared" ref="F37:F44" si="0">POWER(E37,2)</f>
        <v>1.6900000000000002E-2</v>
      </c>
    </row>
    <row r="38" spans="1:6" x14ac:dyDescent="0.25">
      <c r="A38">
        <v>3</v>
      </c>
      <c r="B38">
        <v>80</v>
      </c>
      <c r="C38">
        <v>9.8000000000000007</v>
      </c>
      <c r="D38">
        <v>8.16</v>
      </c>
      <c r="E38">
        <v>0.05</v>
      </c>
      <c r="F38">
        <f t="shared" si="0"/>
        <v>2.5000000000000005E-3</v>
      </c>
    </row>
    <row r="39" spans="1:6" x14ac:dyDescent="0.25">
      <c r="A39">
        <v>4</v>
      </c>
      <c r="B39">
        <v>90</v>
      </c>
      <c r="C39">
        <v>11.05</v>
      </c>
      <c r="D39">
        <v>8.14</v>
      </c>
      <c r="E39">
        <v>0.05</v>
      </c>
      <c r="F39">
        <f t="shared" si="0"/>
        <v>2.5000000000000005E-3</v>
      </c>
    </row>
    <row r="40" spans="1:6" x14ac:dyDescent="0.25">
      <c r="A40">
        <v>5</v>
      </c>
      <c r="B40">
        <v>100</v>
      </c>
      <c r="C40">
        <v>12.4</v>
      </c>
      <c r="D40">
        <v>8.06</v>
      </c>
      <c r="E40">
        <v>-0.05</v>
      </c>
      <c r="F40">
        <f t="shared" si="0"/>
        <v>2.5000000000000005E-3</v>
      </c>
    </row>
    <row r="41" spans="1:6" x14ac:dyDescent="0.25">
      <c r="A41">
        <v>6</v>
      </c>
      <c r="B41">
        <v>110</v>
      </c>
      <c r="C41">
        <v>13.6</v>
      </c>
      <c r="D41">
        <v>8.09</v>
      </c>
      <c r="E41">
        <v>-0.02</v>
      </c>
      <c r="F41">
        <f t="shared" si="0"/>
        <v>4.0000000000000002E-4</v>
      </c>
    </row>
    <row r="42" spans="1:6" x14ac:dyDescent="0.25">
      <c r="A42">
        <v>7</v>
      </c>
      <c r="B42">
        <v>120</v>
      </c>
      <c r="C42">
        <v>14.85</v>
      </c>
      <c r="D42">
        <v>8.08</v>
      </c>
      <c r="E42">
        <v>-0.03</v>
      </c>
      <c r="F42">
        <f t="shared" si="0"/>
        <v>8.9999999999999998E-4</v>
      </c>
    </row>
    <row r="43" spans="1:6" x14ac:dyDescent="0.25">
      <c r="A43">
        <v>8</v>
      </c>
      <c r="B43">
        <v>130</v>
      </c>
      <c r="C43">
        <v>16.100000000000001</v>
      </c>
      <c r="D43">
        <v>8.07</v>
      </c>
      <c r="E43">
        <v>-0.04</v>
      </c>
      <c r="F43">
        <f t="shared" si="0"/>
        <v>1.6000000000000001E-3</v>
      </c>
    </row>
    <row r="44" spans="1:6" x14ac:dyDescent="0.25">
      <c r="A44">
        <v>9</v>
      </c>
      <c r="B44">
        <v>140</v>
      </c>
      <c r="C44">
        <v>17.45</v>
      </c>
      <c r="D44">
        <v>8.02</v>
      </c>
      <c r="E44">
        <v>-0.09</v>
      </c>
      <c r="F44">
        <f t="shared" si="0"/>
        <v>8.0999999999999996E-3</v>
      </c>
    </row>
    <row r="45" spans="1:6" x14ac:dyDescent="0.25">
      <c r="B45">
        <f>SUM(B36:B44)</f>
        <v>900</v>
      </c>
      <c r="C45">
        <f>SUM(C36:C44)</f>
        <v>111.14999999999999</v>
      </c>
      <c r="D45">
        <f>SUM(D36:D44)</f>
        <v>72.970000000000013</v>
      </c>
      <c r="E45">
        <f>SUM(E36:E44)</f>
        <v>0</v>
      </c>
      <c r="F45">
        <f>SUM(F36:F44)</f>
        <v>3.5400000000000008E-2</v>
      </c>
    </row>
    <row r="48" spans="1:6" x14ac:dyDescent="0.25">
      <c r="A48" t="s">
        <v>11</v>
      </c>
      <c r="B48" t="s">
        <v>12</v>
      </c>
      <c r="C48" t="s">
        <v>13</v>
      </c>
      <c r="D48" t="s">
        <v>14</v>
      </c>
      <c r="E48" t="s">
        <v>15</v>
      </c>
      <c r="F48" t="s">
        <v>16</v>
      </c>
    </row>
    <row r="49" spans="1:8" x14ac:dyDescent="0.25">
      <c r="A49">
        <v>1</v>
      </c>
      <c r="B49">
        <v>60</v>
      </c>
      <c r="C49">
        <v>13.2</v>
      </c>
      <c r="D49">
        <v>4.55</v>
      </c>
      <c r="E49">
        <v>0.03</v>
      </c>
      <c r="F49">
        <f>POWER(E49,2)</f>
        <v>8.9999999999999998E-4</v>
      </c>
    </row>
    <row r="50" spans="1:8" x14ac:dyDescent="0.25">
      <c r="A50">
        <v>2</v>
      </c>
      <c r="B50">
        <v>70</v>
      </c>
      <c r="C50">
        <v>15.35</v>
      </c>
      <c r="D50">
        <v>4.5599999999999996</v>
      </c>
      <c r="E50">
        <v>0.04</v>
      </c>
      <c r="F50">
        <f t="shared" ref="F50:F57" si="1">POWER(E50,2)</f>
        <v>1.6000000000000001E-3</v>
      </c>
    </row>
    <row r="51" spans="1:8" x14ac:dyDescent="0.25">
      <c r="A51">
        <v>3</v>
      </c>
      <c r="B51">
        <v>80</v>
      </c>
      <c r="C51">
        <v>17.55</v>
      </c>
      <c r="D51">
        <v>4.5599999999999996</v>
      </c>
      <c r="E51">
        <v>0.04</v>
      </c>
      <c r="F51">
        <f t="shared" si="1"/>
        <v>1.6000000000000001E-3</v>
      </c>
    </row>
    <row r="52" spans="1:8" x14ac:dyDescent="0.25">
      <c r="A52">
        <v>4</v>
      </c>
      <c r="B52">
        <v>90</v>
      </c>
      <c r="C52">
        <v>19.82</v>
      </c>
      <c r="D52">
        <v>4.54</v>
      </c>
      <c r="E52">
        <v>0.02</v>
      </c>
      <c r="F52">
        <f t="shared" si="1"/>
        <v>4.0000000000000002E-4</v>
      </c>
    </row>
    <row r="53" spans="1:8" x14ac:dyDescent="0.25">
      <c r="A53">
        <v>5</v>
      </c>
      <c r="B53">
        <v>100</v>
      </c>
      <c r="C53">
        <v>22.2</v>
      </c>
      <c r="D53">
        <v>4.5</v>
      </c>
      <c r="E53">
        <v>-0.02</v>
      </c>
      <c r="F53">
        <f t="shared" si="1"/>
        <v>4.0000000000000002E-4</v>
      </c>
    </row>
    <row r="54" spans="1:8" x14ac:dyDescent="0.25">
      <c r="A54">
        <v>6</v>
      </c>
      <c r="B54">
        <v>110</v>
      </c>
      <c r="C54">
        <v>24.5</v>
      </c>
      <c r="D54">
        <v>4.49</v>
      </c>
      <c r="E54">
        <v>-0.03</v>
      </c>
      <c r="F54">
        <f t="shared" si="1"/>
        <v>8.9999999999999998E-4</v>
      </c>
    </row>
    <row r="55" spans="1:8" x14ac:dyDescent="0.25">
      <c r="A55">
        <v>7</v>
      </c>
      <c r="B55">
        <v>120</v>
      </c>
      <c r="C55">
        <v>26.8</v>
      </c>
      <c r="D55">
        <v>4.4800000000000004</v>
      </c>
      <c r="E55">
        <v>-0.04</v>
      </c>
      <c r="F55">
        <f t="shared" si="1"/>
        <v>1.6000000000000001E-3</v>
      </c>
    </row>
    <row r="56" spans="1:8" x14ac:dyDescent="0.25">
      <c r="A56">
        <v>8</v>
      </c>
      <c r="B56">
        <v>130</v>
      </c>
      <c r="C56">
        <v>29</v>
      </c>
      <c r="D56">
        <v>4.4800000000000004</v>
      </c>
      <c r="E56">
        <v>-0.04</v>
      </c>
      <c r="F56">
        <f t="shared" si="1"/>
        <v>1.6000000000000001E-3</v>
      </c>
    </row>
    <row r="57" spans="1:8" x14ac:dyDescent="0.25">
      <c r="A57">
        <v>9</v>
      </c>
      <c r="B57">
        <v>140</v>
      </c>
      <c r="C57">
        <v>31</v>
      </c>
      <c r="D57">
        <v>4.5199999999999996</v>
      </c>
      <c r="E57">
        <v>0</v>
      </c>
      <c r="F57">
        <f t="shared" si="1"/>
        <v>0</v>
      </c>
    </row>
    <row r="58" spans="1:8" x14ac:dyDescent="0.25">
      <c r="B58">
        <f>SUM(B49:B57)</f>
        <v>900</v>
      </c>
      <c r="C58">
        <f>SUM(C49:C57)</f>
        <v>199.42</v>
      </c>
      <c r="D58">
        <f>SUM(D49:D57)</f>
        <v>40.679999999999993</v>
      </c>
      <c r="E58">
        <f>SUM(E49:E57)</f>
        <v>0</v>
      </c>
      <c r="F58">
        <f>SUM(F49:F57)</f>
        <v>9.0000000000000011E-3</v>
      </c>
    </row>
    <row r="61" spans="1:8" x14ac:dyDescent="0.25">
      <c r="A61" t="s">
        <v>17</v>
      </c>
      <c r="B61" t="s">
        <v>18</v>
      </c>
      <c r="C61" t="s">
        <v>19</v>
      </c>
      <c r="D61" t="s">
        <v>20</v>
      </c>
      <c r="E61" t="s">
        <v>24</v>
      </c>
      <c r="F61" t="s">
        <v>21</v>
      </c>
      <c r="G61" t="s">
        <v>22</v>
      </c>
      <c r="H61" t="s">
        <v>23</v>
      </c>
    </row>
    <row r="62" spans="1:8" x14ac:dyDescent="0.25">
      <c r="A62">
        <v>2</v>
      </c>
      <c r="B62">
        <v>47</v>
      </c>
      <c r="C62">
        <v>12.1</v>
      </c>
      <c r="D62">
        <v>300</v>
      </c>
      <c r="E62">
        <v>10</v>
      </c>
      <c r="F62">
        <v>0.22800000000000001</v>
      </c>
      <c r="G62">
        <v>11.872</v>
      </c>
      <c r="H62">
        <v>0.126</v>
      </c>
    </row>
    <row r="63" spans="1:8" x14ac:dyDescent="0.25">
      <c r="A63">
        <v>2.25</v>
      </c>
      <c r="B63">
        <v>53</v>
      </c>
      <c r="C63">
        <v>15</v>
      </c>
      <c r="D63">
        <v>300</v>
      </c>
      <c r="E63">
        <v>10</v>
      </c>
      <c r="F63">
        <v>0.28999999999999998</v>
      </c>
      <c r="G63">
        <v>14.71</v>
      </c>
      <c r="H63">
        <v>0.125</v>
      </c>
    </row>
    <row r="64" spans="1:8" x14ac:dyDescent="0.25">
      <c r="A64">
        <v>2.5</v>
      </c>
      <c r="B64">
        <v>59</v>
      </c>
      <c r="C64">
        <v>18.5</v>
      </c>
      <c r="D64">
        <v>300</v>
      </c>
      <c r="E64">
        <v>10</v>
      </c>
      <c r="F64">
        <v>0.35899999999999999</v>
      </c>
      <c r="G64">
        <v>18.140999999999998</v>
      </c>
      <c r="H64">
        <v>0.123</v>
      </c>
    </row>
    <row r="65" spans="1:8" x14ac:dyDescent="0.25">
      <c r="A65">
        <v>2.75</v>
      </c>
      <c r="B65">
        <v>65</v>
      </c>
      <c r="C65">
        <v>22.4</v>
      </c>
      <c r="D65">
        <v>300</v>
      </c>
      <c r="E65">
        <v>10</v>
      </c>
      <c r="F65">
        <v>0.436</v>
      </c>
      <c r="G65">
        <v>21.963999999999999</v>
      </c>
      <c r="H65">
        <v>0.12</v>
      </c>
    </row>
    <row r="66" spans="1:8" x14ac:dyDescent="0.25">
      <c r="A66">
        <v>3</v>
      </c>
      <c r="B66">
        <v>72</v>
      </c>
      <c r="C66">
        <v>26.2</v>
      </c>
      <c r="D66">
        <v>300</v>
      </c>
      <c r="E66">
        <v>10</v>
      </c>
      <c r="F66">
        <v>0.53500000000000003</v>
      </c>
      <c r="G66">
        <v>25.664999999999999</v>
      </c>
      <c r="H66">
        <v>0.11899999999999999</v>
      </c>
    </row>
    <row r="67" spans="1:8" x14ac:dyDescent="0.25">
      <c r="A67">
        <v>3.25</v>
      </c>
      <c r="B67">
        <v>78</v>
      </c>
      <c r="C67">
        <v>31.2</v>
      </c>
      <c r="D67">
        <v>300</v>
      </c>
      <c r="E67">
        <v>10</v>
      </c>
      <c r="F67">
        <v>0.628</v>
      </c>
      <c r="G67">
        <v>30.571999999999999</v>
      </c>
      <c r="H67">
        <v>0.12</v>
      </c>
    </row>
    <row r="68" spans="1:8" x14ac:dyDescent="0.25">
      <c r="A68">
        <v>3.5</v>
      </c>
      <c r="B68">
        <v>84</v>
      </c>
      <c r="C68">
        <v>35.5</v>
      </c>
      <c r="D68">
        <v>300</v>
      </c>
      <c r="E68">
        <v>10</v>
      </c>
      <c r="F68">
        <v>0.72799999999999998</v>
      </c>
      <c r="G68">
        <v>34.771999999999998</v>
      </c>
      <c r="H68">
        <v>0.11899999999999999</v>
      </c>
    </row>
    <row r="69" spans="1:8" x14ac:dyDescent="0.25">
      <c r="A69">
        <v>3.75</v>
      </c>
      <c r="B69">
        <v>90</v>
      </c>
      <c r="C69">
        <v>40</v>
      </c>
      <c r="D69">
        <v>300</v>
      </c>
      <c r="E69">
        <v>10</v>
      </c>
      <c r="F69">
        <v>0.83899999999999997</v>
      </c>
      <c r="G69">
        <v>39.162999999999997</v>
      </c>
      <c r="H69">
        <v>0.11600000000000001</v>
      </c>
    </row>
    <row r="70" spans="1:8" x14ac:dyDescent="0.25">
      <c r="A70">
        <v>4</v>
      </c>
      <c r="B70">
        <v>97</v>
      </c>
      <c r="C70">
        <v>47</v>
      </c>
      <c r="D70">
        <v>300</v>
      </c>
      <c r="E70">
        <v>10</v>
      </c>
      <c r="F70">
        <v>0.97099999999999997</v>
      </c>
      <c r="G70">
        <v>46.029000000000003</v>
      </c>
      <c r="H70">
        <v>0.11799999999999999</v>
      </c>
    </row>
    <row r="71" spans="1:8" x14ac:dyDescent="0.25">
      <c r="A71">
        <v>4.25</v>
      </c>
      <c r="B71">
        <v>103</v>
      </c>
      <c r="C71">
        <v>51.9</v>
      </c>
      <c r="D71">
        <v>300</v>
      </c>
      <c r="E71">
        <v>10</v>
      </c>
      <c r="F71">
        <v>1.095</v>
      </c>
      <c r="G71">
        <v>50.805</v>
      </c>
      <c r="H71">
        <v>0.114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 hrehus</dc:creator>
  <cp:lastModifiedBy>ales hrehus</cp:lastModifiedBy>
  <dcterms:created xsi:type="dcterms:W3CDTF">2025-06-21T19:52:32Z</dcterms:created>
  <dcterms:modified xsi:type="dcterms:W3CDTF">2025-06-22T00:12:02Z</dcterms:modified>
</cp:coreProperties>
</file>